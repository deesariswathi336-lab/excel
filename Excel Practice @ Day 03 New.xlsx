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b28e096d3d1180/Desktop/excel/"/>
    </mc:Choice>
  </mc:AlternateContent>
  <xr:revisionPtr revIDLastSave="0" documentId="13_ncr:1_{3D7B37C2-DB3D-432E-A6F9-1913D8281B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" l="1"/>
  <c r="T2" i="1"/>
  <c r="S2" i="1"/>
  <c r="H63" i="1"/>
  <c r="H61" i="1"/>
  <c r="H60" i="1"/>
  <c r="H58" i="1"/>
  <c r="H57" i="1"/>
  <c r="H55" i="1"/>
  <c r="H54" i="1"/>
  <c r="H52" i="1"/>
  <c r="H51" i="1"/>
  <c r="J49" i="1"/>
  <c r="H50" i="1"/>
  <c r="I49" i="1"/>
  <c r="I48" i="1"/>
  <c r="H49" i="1"/>
  <c r="H48" i="1"/>
  <c r="H47" i="1"/>
</calcChain>
</file>

<file path=xl/sharedStrings.xml><?xml version="1.0" encoding="utf-8"?>
<sst xmlns="http://schemas.openxmlformats.org/spreadsheetml/2006/main" count="458" uniqueCount="225">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</sst>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topLeftCell="D38" zoomScale="116" zoomScaleNormal="116" workbookViewId="0">
      <selection activeCell="H47" sqref="H47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/>
      <c r="O1" s="14"/>
      <c r="P1" s="14"/>
      <c r="Q1" s="14"/>
      <c r="R1" s="14"/>
      <c r="S1" s="14"/>
      <c r="T1" s="14"/>
    </row>
    <row r="2" spans="1:20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S2" t="str">
        <f>IF(NOT(L2="Pending"),"Payment Completed","Payment Pending")</f>
        <v>Payment Completed</v>
      </c>
      <c r="T2" t="str">
        <f>IF(AND(OR(Patient_Data!E2="Cardiology",Patient_Data!E2="Orthopedics"),Patient_Data!K2&gt;30000),"MR","NR")</f>
        <v>NR</v>
      </c>
    </row>
    <row r="3" spans="1:20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</row>
    <row r="4" spans="1:20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</row>
    <row r="5" spans="1:20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</row>
    <row r="6" spans="1:20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</row>
    <row r="7" spans="1:20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</row>
    <row r="8" spans="1:20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</row>
    <row r="9" spans="1:20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</row>
    <row r="10" spans="1:20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</row>
    <row r="11" spans="1:20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</row>
    <row r="12" spans="1:20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</row>
    <row r="13" spans="1:20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</row>
    <row r="14" spans="1:20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</row>
    <row r="15" spans="1:20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</row>
    <row r="16" spans="1:20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</row>
    <row r="17" spans="1:13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</row>
    <row r="18" spans="1:13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</row>
    <row r="19" spans="1:13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</row>
    <row r="20" spans="1:13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</row>
    <row r="21" spans="1:13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</row>
    <row r="22" spans="1:13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</row>
    <row r="23" spans="1:13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</row>
    <row r="24" spans="1:13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</row>
    <row r="25" spans="1:13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</row>
    <row r="26" spans="1:13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</row>
    <row r="27" spans="1:13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</row>
    <row r="28" spans="1:13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</row>
    <row r="29" spans="1:13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</row>
    <row r="30" spans="1:13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</row>
    <row r="31" spans="1:13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</row>
    <row r="32" spans="1:13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</row>
    <row r="33" spans="1:13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</row>
    <row r="34" spans="1:13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</row>
    <row r="35" spans="1:13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</row>
    <row r="36" spans="1:13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</row>
    <row r="37" spans="1:13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</row>
    <row r="38" spans="1:13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</row>
    <row r="39" spans="1:13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</row>
    <row r="40" spans="1:13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</row>
    <row r="41" spans="1:13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</row>
    <row r="43" spans="1:13">
      <c r="H43">
        <f>SUMIF(Department,"Opthomology",Bills)</f>
        <v>0</v>
      </c>
    </row>
    <row r="47" spans="1:13">
      <c r="E47" t="s">
        <v>123</v>
      </c>
      <c r="H47">
        <f>SUM(Bills)</f>
        <v>1019500</v>
      </c>
    </row>
    <row r="48" spans="1:13">
      <c r="E48" t="s">
        <v>138</v>
      </c>
      <c r="H48">
        <f>SUMIF(Department,"Cardiology",Bills)</f>
        <v>443500</v>
      </c>
      <c r="I48">
        <f>SUMIF(Department,E30,Bills)</f>
        <v>89500</v>
      </c>
    </row>
    <row r="49" spans="5:10">
      <c r="E49" t="s">
        <v>139</v>
      </c>
      <c r="H49">
        <f>COUNTIF(Department,E35)</f>
        <v>7</v>
      </c>
      <c r="I49">
        <f>COUNTIF(Department,E39)</f>
        <v>7</v>
      </c>
      <c r="J49">
        <f>COUNTIF(Gender,D38)</f>
        <v>20</v>
      </c>
    </row>
    <row r="50" spans="5:10">
      <c r="E50" t="s">
        <v>140</v>
      </c>
      <c r="H50">
        <f>AVERAGEIF(Department,E39,Bills)</f>
        <v>25571.428571428572</v>
      </c>
    </row>
    <row r="51" spans="5:10">
      <c r="E51" t="s">
        <v>124</v>
      </c>
      <c r="H51">
        <f>SUMIF(J2:J41,J22,Bills)</f>
        <v>499500</v>
      </c>
    </row>
    <row r="52" spans="5:10">
      <c r="E52" t="s">
        <v>125</v>
      </c>
      <c r="H52">
        <f>COUNTIF(L2:L41,L25)</f>
        <v>10</v>
      </c>
    </row>
    <row r="53" spans="5:10">
      <c r="E53" t="s">
        <v>126</v>
      </c>
    </row>
    <row r="54" spans="5:10">
      <c r="E54" t="s">
        <v>127</v>
      </c>
      <c r="H54">
        <f>SUMIFS(Bills,Department,E41,J2:J41,J25)</f>
        <v>275500</v>
      </c>
    </row>
    <row r="55" spans="5:10">
      <c r="E55" t="s">
        <v>128</v>
      </c>
      <c r="H55">
        <f>COUNTIFS(Department,E41,L2:L41,L28)</f>
        <v>4</v>
      </c>
    </row>
    <row r="56" spans="5:10">
      <c r="E56" t="s">
        <v>129</v>
      </c>
    </row>
    <row r="57" spans="5:10">
      <c r="E57" t="s">
        <v>130</v>
      </c>
      <c r="H57">
        <f>COUNTIF(Bills,"&gt;40000")</f>
        <v>9</v>
      </c>
    </row>
    <row r="58" spans="5:10">
      <c r="E58" t="s">
        <v>131</v>
      </c>
      <c r="H58">
        <f>SUMIF(Bills,"&gt;40000",Bills)</f>
        <v>508000</v>
      </c>
    </row>
    <row r="59" spans="5:10">
      <c r="E59" t="s">
        <v>132</v>
      </c>
    </row>
    <row r="60" spans="5:10">
      <c r="E60" t="s">
        <v>133</v>
      </c>
      <c r="H60">
        <f>SUMIF(Stay,"&gt;5",Bills)</f>
        <v>582000</v>
      </c>
    </row>
    <row r="61" spans="5:10">
      <c r="E61" t="s">
        <v>134</v>
      </c>
      <c r="H61">
        <f>SUMIFS(Bills,Department,E41,Stay,"&gt;5")</f>
        <v>320000</v>
      </c>
    </row>
    <row r="62" spans="5:10">
      <c r="E62" t="s">
        <v>135</v>
      </c>
    </row>
    <row r="63" spans="5:10">
      <c r="E63" t="s">
        <v>136</v>
      </c>
      <c r="H63">
        <f>_xlfn.MAXIFS(Bills,Department,E41)</f>
        <v>76000</v>
      </c>
    </row>
    <row r="64" spans="5:10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64" zoomScale="102" zoomScaleNormal="102" workbookViewId="0">
      <selection activeCell="A40" sqref="A40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9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deesari swathi</cp:lastModifiedBy>
  <dcterms:created xsi:type="dcterms:W3CDTF">2026-09-09T05:55:57Z</dcterms:created>
  <dcterms:modified xsi:type="dcterms:W3CDTF">2026-10-29T15:59:07Z</dcterms:modified>
</cp:coreProperties>
</file>